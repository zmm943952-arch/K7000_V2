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785" windowHeight="5145" firstSheet="1" activeTab="1"/>
  </bookViews>
  <sheets>
    <sheet name="Sheet1" sheetId="1" r:id="rId1"/>
    <sheet name="VariantEditor" sheetId="3" r:id="rId2"/>
    <sheet name="CalAngle" sheetId="4" r:id="rId3"/>
    <sheet name="VeriAngle" sheetId="5" r:id="rId4"/>
    <sheet name="TeststandMainSequence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<sst xmlns="http://schemas.openxmlformats.org/spreadsheetml/2006/main" count="354" uniqueCount="152">
  <si>
    <t>变量</t>
  </si>
  <si>
    <t>值</t>
  </si>
  <si>
    <t>类型</t>
  </si>
  <si>
    <t>Master</t>
  </si>
  <si>
    <t>Boolean</t>
  </si>
  <si>
    <t>电压上限</t>
  </si>
  <si>
    <t>Number</t>
  </si>
  <si>
    <t>电压下限</t>
  </si>
  <si>
    <t>电流上限</t>
  </si>
  <si>
    <t>电流下限</t>
  </si>
  <si>
    <t>软件版本号</t>
  </si>
  <si>
    <t>String</t>
  </si>
  <si>
    <t>硬件版本号</t>
  </si>
  <si>
    <t>产品编号</t>
  </si>
  <si>
    <t>雷达中心频率_GHz</t>
  </si>
  <si>
    <t>阵元幅度</t>
  </si>
  <si>
    <t>Container</t>
  </si>
  <si>
    <t>#上限1</t>
  </si>
  <si>
    <t>#下限1</t>
  </si>
  <si>
    <t>#上限2</t>
  </si>
  <si>
    <t>#下限2</t>
  </si>
  <si>
    <t>#上限3</t>
  </si>
  <si>
    <t>#下限3</t>
  </si>
  <si>
    <t>#上限4</t>
  </si>
  <si>
    <t>#下限4</t>
  </si>
  <si>
    <t>#上限5</t>
  </si>
  <si>
    <t>#下限5</t>
  </si>
  <si>
    <t>#上限6</t>
  </si>
  <si>
    <t>#下限6</t>
  </si>
  <si>
    <t>#上限7</t>
  </si>
  <si>
    <t>#下限7</t>
  </si>
  <si>
    <t>#上限8</t>
  </si>
  <si>
    <t>#下限8</t>
  </si>
  <si>
    <t>#上限9</t>
  </si>
  <si>
    <t>#下限9</t>
  </si>
  <si>
    <t>#上限10</t>
  </si>
  <si>
    <t>#下限10</t>
  </si>
  <si>
    <t>#上限11</t>
  </si>
  <si>
    <t>#下限11</t>
  </si>
  <si>
    <t>#上限12</t>
  </si>
  <si>
    <t>#下限12</t>
  </si>
  <si>
    <t>#上限13</t>
  </si>
  <si>
    <t>#下限13</t>
  </si>
  <si>
    <t>#上限14</t>
  </si>
  <si>
    <t>#下限14</t>
  </si>
  <si>
    <t>#上限15</t>
  </si>
  <si>
    <t>#下限15</t>
  </si>
  <si>
    <t>#上限16</t>
  </si>
  <si>
    <t>#下限16</t>
  </si>
  <si>
    <t>#Max_Min上限</t>
  </si>
  <si>
    <t>Noise</t>
  </si>
  <si>
    <t>#Max上限</t>
  </si>
  <si>
    <t>#Max下限</t>
  </si>
  <si>
    <t>#Mean上限</t>
  </si>
  <si>
    <t>#Mean下限</t>
  </si>
  <si>
    <t>校准目标</t>
  </si>
  <si>
    <t>#距离_m</t>
  </si>
  <si>
    <t>#速度_m_s</t>
  </si>
  <si>
    <t>#RCS_dBsm</t>
  </si>
  <si>
    <t>程控电源</t>
  </si>
  <si>
    <t>#电压</t>
  </si>
  <si>
    <t>#电流</t>
  </si>
  <si>
    <t>CAN_ID</t>
  </si>
  <si>
    <t>#RequestID</t>
  </si>
  <si>
    <t>#ResponseID</t>
  </si>
  <si>
    <t>#FunctionID</t>
  </si>
  <si>
    <t>Angle_deg</t>
  </si>
  <si>
    <t>AzOffset_L</t>
  </si>
  <si>
    <t>AzOffset_H</t>
  </si>
  <si>
    <t>ElOffset_L</t>
  </si>
  <si>
    <t>ElOffset_H</t>
  </si>
  <si>
    <t>Range_Low</t>
  </si>
  <si>
    <t>Range_High</t>
  </si>
  <si>
    <t>Velocity_Low</t>
  </si>
  <si>
    <t>Velocity_High</t>
  </si>
  <si>
    <t>Angle_Low</t>
  </si>
  <si>
    <t>Angle_High</t>
  </si>
  <si>
    <t>AngEle_Low</t>
  </si>
  <si>
    <t>RCS_Low</t>
  </si>
  <si>
    <t>RCS_High</t>
  </si>
  <si>
    <t>Power_Low</t>
  </si>
  <si>
    <t>Power_High</t>
  </si>
  <si>
    <t>thetaQly_Low</t>
  </si>
  <si>
    <t>thetaQly_High</t>
  </si>
  <si>
    <t>测试项</t>
  </si>
  <si>
    <t>状态</t>
  </si>
  <si>
    <t>上电检测</t>
  </si>
  <si>
    <t>Normal</t>
  </si>
  <si>
    <t>Label</t>
  </si>
  <si>
    <t>工作电压</t>
  </si>
  <si>
    <t>NumericLimitTest</t>
  </si>
  <si>
    <t>工作电流</t>
  </si>
  <si>
    <t>Skip</t>
  </si>
  <si>
    <t>StringValueTest</t>
  </si>
  <si>
    <t>CAN通讯状态</t>
  </si>
  <si>
    <t>PassFailTest</t>
  </si>
  <si>
    <t>角度校准</t>
  </si>
  <si>
    <t>RTS模拟目标 50m,0m/s,30dBsm</t>
  </si>
  <si>
    <t>Action</t>
  </si>
  <si>
    <t>进入扩展会话</t>
  </si>
  <si>
    <t>请求Seed</t>
  </si>
  <si>
    <t>发送Key</t>
  </si>
  <si>
    <t>进入校准模式</t>
  </si>
  <si>
    <t>等待0.5s</t>
  </si>
  <si>
    <t>NI_Wait</t>
  </si>
  <si>
    <t>读取10组数据</t>
  </si>
  <si>
    <t>读取RF校准系数</t>
  </si>
  <si>
    <t>For</t>
  </si>
  <si>
    <t>NI_Flow_For</t>
  </si>
  <si>
    <t>阵元幅度_1</t>
  </si>
  <si>
    <t>阵元幅度_2</t>
  </si>
  <si>
    <t>阵元幅度_3</t>
  </si>
  <si>
    <t>阵元幅度_4</t>
  </si>
  <si>
    <t>阵元幅度_5</t>
  </si>
  <si>
    <t>阵元幅度_6</t>
  </si>
  <si>
    <t>阵元幅度_7</t>
  </si>
  <si>
    <t>阵元幅度_8</t>
  </si>
  <si>
    <t>阵元幅度_9</t>
  </si>
  <si>
    <t>阵元幅度_10</t>
  </si>
  <si>
    <t>阵元幅度_11</t>
  </si>
  <si>
    <t>阵元幅度_12</t>
  </si>
  <si>
    <t>阵元幅度_13</t>
  </si>
  <si>
    <t>阵元幅度_14</t>
  </si>
  <si>
    <t>阵元幅度_15</t>
  </si>
  <si>
    <t>阵元幅度_16</t>
  </si>
  <si>
    <t>阵元幅度Max/Min</t>
  </si>
  <si>
    <t>End</t>
  </si>
  <si>
    <t>NI_Flow_End</t>
  </si>
  <si>
    <t>Noise_Max</t>
  </si>
  <si>
    <t>Noise_Mean</t>
  </si>
  <si>
    <t>回传校准系数</t>
  </si>
  <si>
    <t>角度参数标定</t>
  </si>
  <si>
    <t>进入角度参数标定模式</t>
  </si>
  <si>
    <t>水平旋转</t>
  </si>
  <si>
    <t>读取目标数据</t>
  </si>
  <si>
    <t>水平角Offset</t>
  </si>
  <si>
    <t>俯仰角Offset</t>
  </si>
  <si>
    <t>读取天线数据</t>
  </si>
  <si>
    <t>Statement</t>
  </si>
  <si>
    <t>保存hex文件</t>
  </si>
  <si>
    <t>hex文件刷写</t>
  </si>
  <si>
    <t>SequenceCall</t>
  </si>
  <si>
    <t>角度精度验证</t>
  </si>
  <si>
    <t>Wait</t>
  </si>
  <si>
    <t>进入角度精度验证模式</t>
  </si>
  <si>
    <t>距离_50m</t>
  </si>
  <si>
    <t>速度</t>
  </si>
  <si>
    <t>水平角</t>
  </si>
  <si>
    <t>俯仰角</t>
  </si>
  <si>
    <t>RCS</t>
  </si>
  <si>
    <t>Power</t>
  </si>
  <si>
    <t>角度质量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</si>
</sst>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top"/>
    </xf>
    <xf numFmtId="0" fontId="1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39" sqref="D39"/>
    </sheetView>
  </sheetViews>
  <sheetFormatPr defaultColWidth="9" defaultRowHeight="13.5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"/>
  <sheetViews>
    <sheetView tabSelected="1" topLeftCell="A37" workbookViewId="0">
      <selection activeCell="C66" sqref="C66"/>
    </sheetView>
  </sheetViews>
  <sheetFormatPr defaultColWidth="9" defaultRowHeight="13.5" outlineLevelCol="2"/>
  <cols>
    <col min="1" max="1" width="17.3666666666667" customWidth="1"/>
    <col min="2" max="2" width="74" customWidth="1"/>
    <col min="3" max="3" width="47.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b">
        <v>0</v>
      </c>
      <c r="C2" t="s">
        <v>4</v>
      </c>
    </row>
    <row r="3" spans="1:3">
      <c r="A3" t="s">
        <v>5</v>
      </c>
      <c r="B3">
        <v>14.5</v>
      </c>
      <c r="C3" t="s">
        <v>6</v>
      </c>
    </row>
    <row r="4" spans="1:3">
      <c r="A4" t="s">
        <v>7</v>
      </c>
      <c r="B4">
        <v>13.5</v>
      </c>
      <c r="C4" t="s">
        <v>6</v>
      </c>
    </row>
    <row r="5" spans="1:3">
      <c r="A5" t="s">
        <v>8</v>
      </c>
      <c r="B5">
        <v>1</v>
      </c>
      <c r="C5" t="s">
        <v>6</v>
      </c>
    </row>
    <row r="6" spans="1:3">
      <c r="A6" t="s">
        <v>9</v>
      </c>
      <c r="B6">
        <v>0.1</v>
      </c>
      <c r="C6" t="s">
        <v>6</v>
      </c>
    </row>
    <row r="7" spans="1:3">
      <c r="A7" t="s">
        <v>10</v>
      </c>
      <c r="C7" t="s">
        <v>11</v>
      </c>
    </row>
    <row r="8" spans="1:3">
      <c r="A8" t="s">
        <v>12</v>
      </c>
      <c r="C8" t="s">
        <v>11</v>
      </c>
    </row>
    <row r="9" spans="1:3">
      <c r="A9" t="s">
        <v>13</v>
      </c>
      <c r="C9" t="s">
        <v>11</v>
      </c>
    </row>
    <row r="10" spans="1:3">
      <c r="A10" t="s">
        <v>14</v>
      </c>
      <c r="B10">
        <v>76.5</v>
      </c>
      <c r="C10" t="s">
        <v>6</v>
      </c>
    </row>
    <row r="11" spans="1:3">
      <c r="A11" t="s">
        <v>15</v>
      </c>
      <c r="C11" t="s">
        <v>16</v>
      </c>
    </row>
    <row r="12" spans="1:3">
      <c r="A12" t="s">
        <v>17</v>
      </c>
      <c r="B12">
        <v>75</v>
      </c>
      <c r="C12" t="s">
        <v>6</v>
      </c>
    </row>
    <row r="13" spans="1:3">
      <c r="A13" t="s">
        <v>18</v>
      </c>
      <c r="B13">
        <v>58</v>
      </c>
      <c r="C13" t="s">
        <v>6</v>
      </c>
    </row>
    <row r="14" spans="1:3">
      <c r="A14" t="s">
        <v>19</v>
      </c>
      <c r="B14">
        <v>75</v>
      </c>
      <c r="C14" t="s">
        <v>6</v>
      </c>
    </row>
    <row r="15" spans="1:3">
      <c r="A15" t="s">
        <v>20</v>
      </c>
      <c r="B15">
        <v>58</v>
      </c>
      <c r="C15" t="s">
        <v>6</v>
      </c>
    </row>
    <row r="16" spans="1:3">
      <c r="A16" t="s">
        <v>21</v>
      </c>
      <c r="B16">
        <v>75</v>
      </c>
      <c r="C16" t="s">
        <v>6</v>
      </c>
    </row>
    <row r="17" spans="1:3">
      <c r="A17" t="s">
        <v>22</v>
      </c>
      <c r="B17">
        <v>58</v>
      </c>
      <c r="C17" t="s">
        <v>6</v>
      </c>
    </row>
    <row r="18" spans="1:3">
      <c r="A18" t="s">
        <v>23</v>
      </c>
      <c r="B18">
        <v>75</v>
      </c>
      <c r="C18" t="s">
        <v>6</v>
      </c>
    </row>
    <row r="19" spans="1:3">
      <c r="A19" t="s">
        <v>24</v>
      </c>
      <c r="B19">
        <v>58</v>
      </c>
      <c r="C19" t="s">
        <v>6</v>
      </c>
    </row>
    <row r="20" spans="1:3">
      <c r="A20" t="s">
        <v>25</v>
      </c>
      <c r="B20">
        <v>75</v>
      </c>
      <c r="C20" t="s">
        <v>6</v>
      </c>
    </row>
    <row r="21" spans="1:3">
      <c r="A21" t="s">
        <v>26</v>
      </c>
      <c r="B21">
        <v>58</v>
      </c>
      <c r="C21" t="s">
        <v>6</v>
      </c>
    </row>
    <row r="22" spans="1:3">
      <c r="A22" t="s">
        <v>27</v>
      </c>
      <c r="B22">
        <v>75</v>
      </c>
      <c r="C22" t="s">
        <v>6</v>
      </c>
    </row>
    <row r="23" spans="1:3">
      <c r="A23" t="s">
        <v>28</v>
      </c>
      <c r="B23">
        <v>58</v>
      </c>
      <c r="C23" t="s">
        <v>6</v>
      </c>
    </row>
    <row r="24" spans="1:3">
      <c r="A24" t="s">
        <v>29</v>
      </c>
      <c r="B24">
        <v>75</v>
      </c>
      <c r="C24" t="s">
        <v>6</v>
      </c>
    </row>
    <row r="25" spans="1:3">
      <c r="A25" t="s">
        <v>30</v>
      </c>
      <c r="B25">
        <v>58</v>
      </c>
      <c r="C25" t="s">
        <v>6</v>
      </c>
    </row>
    <row r="26" spans="1:3">
      <c r="A26" t="s">
        <v>31</v>
      </c>
      <c r="B26">
        <v>75</v>
      </c>
      <c r="C26" t="s">
        <v>6</v>
      </c>
    </row>
    <row r="27" spans="1:3">
      <c r="A27" t="s">
        <v>32</v>
      </c>
      <c r="B27">
        <v>58</v>
      </c>
      <c r="C27" t="s">
        <v>6</v>
      </c>
    </row>
    <row r="28" spans="1:3">
      <c r="A28" t="s">
        <v>33</v>
      </c>
      <c r="B28">
        <v>75</v>
      </c>
      <c r="C28" t="s">
        <v>6</v>
      </c>
    </row>
    <row r="29" spans="1:3">
      <c r="A29" t="s">
        <v>34</v>
      </c>
      <c r="B29">
        <v>58</v>
      </c>
      <c r="C29" t="s">
        <v>6</v>
      </c>
    </row>
    <row r="30" spans="1:3">
      <c r="A30" t="s">
        <v>35</v>
      </c>
      <c r="B30">
        <v>75</v>
      </c>
      <c r="C30" t="s">
        <v>6</v>
      </c>
    </row>
    <row r="31" spans="1:3">
      <c r="A31" t="s">
        <v>36</v>
      </c>
      <c r="B31">
        <v>58</v>
      </c>
      <c r="C31" t="s">
        <v>6</v>
      </c>
    </row>
    <row r="32" spans="1:3">
      <c r="A32" t="s">
        <v>37</v>
      </c>
      <c r="B32">
        <v>75</v>
      </c>
      <c r="C32" t="s">
        <v>6</v>
      </c>
    </row>
    <row r="33" spans="1:3">
      <c r="A33" t="s">
        <v>38</v>
      </c>
      <c r="B33">
        <v>58</v>
      </c>
      <c r="C33" t="s">
        <v>6</v>
      </c>
    </row>
    <row r="34" spans="1:3">
      <c r="A34" t="s">
        <v>39</v>
      </c>
      <c r="B34">
        <v>75</v>
      </c>
      <c r="C34" t="s">
        <v>6</v>
      </c>
    </row>
    <row r="35" spans="1:3">
      <c r="A35" t="s">
        <v>40</v>
      </c>
      <c r="B35">
        <v>58</v>
      </c>
      <c r="C35" t="s">
        <v>6</v>
      </c>
    </row>
    <row r="36" spans="1:3">
      <c r="A36" t="s">
        <v>41</v>
      </c>
      <c r="B36">
        <v>75</v>
      </c>
      <c r="C36" t="s">
        <v>6</v>
      </c>
    </row>
    <row r="37" spans="1:3">
      <c r="A37" t="s">
        <v>42</v>
      </c>
      <c r="B37">
        <v>58</v>
      </c>
      <c r="C37" t="s">
        <v>6</v>
      </c>
    </row>
    <row r="38" spans="1:3">
      <c r="A38" t="s">
        <v>43</v>
      </c>
      <c r="B38">
        <v>75</v>
      </c>
      <c r="C38" t="s">
        <v>6</v>
      </c>
    </row>
    <row r="39" spans="1:3">
      <c r="A39" t="s">
        <v>44</v>
      </c>
      <c r="B39">
        <v>58</v>
      </c>
      <c r="C39" t="s">
        <v>6</v>
      </c>
    </row>
    <row r="40" spans="1:3">
      <c r="A40" t="s">
        <v>45</v>
      </c>
      <c r="B40">
        <v>75</v>
      </c>
      <c r="C40" t="s">
        <v>6</v>
      </c>
    </row>
    <row r="41" spans="1:3">
      <c r="A41" t="s">
        <v>46</v>
      </c>
      <c r="B41">
        <v>58</v>
      </c>
      <c r="C41" t="s">
        <v>6</v>
      </c>
    </row>
    <row r="42" spans="1:3">
      <c r="A42" t="s">
        <v>47</v>
      </c>
      <c r="B42">
        <v>75</v>
      </c>
      <c r="C42" t="s">
        <v>6</v>
      </c>
    </row>
    <row r="43" spans="1:3">
      <c r="A43" t="s">
        <v>48</v>
      </c>
      <c r="B43">
        <v>58</v>
      </c>
      <c r="C43" t="s">
        <v>6</v>
      </c>
    </row>
    <row r="44" spans="1:3">
      <c r="A44" t="s">
        <v>49</v>
      </c>
      <c r="B44">
        <v>2</v>
      </c>
      <c r="C44" t="s">
        <v>6</v>
      </c>
    </row>
    <row r="45" spans="1:3">
      <c r="A45" t="s">
        <v>50</v>
      </c>
      <c r="C45" t="s">
        <v>16</v>
      </c>
    </row>
    <row r="46" spans="1:3">
      <c r="A46" t="s">
        <v>51</v>
      </c>
      <c r="B46">
        <v>86</v>
      </c>
      <c r="C46" t="s">
        <v>6</v>
      </c>
    </row>
    <row r="47" spans="1:3">
      <c r="A47" t="s">
        <v>52</v>
      </c>
      <c r="B47">
        <v>74</v>
      </c>
      <c r="C47" t="s">
        <v>6</v>
      </c>
    </row>
    <row r="48" spans="1:3">
      <c r="A48" t="s">
        <v>53</v>
      </c>
      <c r="B48">
        <v>76</v>
      </c>
      <c r="C48" t="s">
        <v>6</v>
      </c>
    </row>
    <row r="49" spans="1:3">
      <c r="A49" t="s">
        <v>54</v>
      </c>
      <c r="B49">
        <v>69</v>
      </c>
      <c r="C49" t="s">
        <v>6</v>
      </c>
    </row>
    <row r="50" spans="1:3">
      <c r="A50" t="s">
        <v>55</v>
      </c>
      <c r="C50" t="s">
        <v>16</v>
      </c>
    </row>
    <row r="51" spans="1:3">
      <c r="A51" t="s">
        <v>56</v>
      </c>
      <c r="B51">
        <v>50</v>
      </c>
      <c r="C51" t="s">
        <v>6</v>
      </c>
    </row>
    <row r="52" spans="1:3">
      <c r="A52" t="s">
        <v>57</v>
      </c>
      <c r="B52">
        <v>0</v>
      </c>
      <c r="C52" t="s">
        <v>6</v>
      </c>
    </row>
    <row r="53" spans="1:3">
      <c r="A53" t="s">
        <v>58</v>
      </c>
      <c r="B53">
        <v>30</v>
      </c>
      <c r="C53" t="s">
        <v>6</v>
      </c>
    </row>
    <row r="54" spans="1:3">
      <c r="A54" t="s">
        <v>59</v>
      </c>
      <c r="C54" t="s">
        <v>16</v>
      </c>
    </row>
    <row r="55" spans="1:3">
      <c r="A55" t="s">
        <v>60</v>
      </c>
      <c r="B55">
        <v>14</v>
      </c>
      <c r="C55" t="s">
        <v>6</v>
      </c>
    </row>
    <row r="56" spans="1:3">
      <c r="A56" t="s">
        <v>61</v>
      </c>
      <c r="B56">
        <v>1</v>
      </c>
      <c r="C56" t="s">
        <v>6</v>
      </c>
    </row>
    <row r="57" spans="1:3">
      <c r="A57" t="s">
        <v>62</v>
      </c>
      <c r="C57" t="s">
        <v>16</v>
      </c>
    </row>
    <row r="58" spans="1:3">
      <c r="A58" t="s">
        <v>63</v>
      </c>
      <c r="B58">
        <v>1868</v>
      </c>
      <c r="C58" t="s">
        <v>6</v>
      </c>
    </row>
    <row r="59" spans="1:3">
      <c r="A59" t="s">
        <v>64</v>
      </c>
      <c r="B59">
        <v>1996</v>
      </c>
      <c r="C59" t="s">
        <v>6</v>
      </c>
    </row>
    <row r="60" spans="1:3">
      <c r="A60" t="s">
        <v>65</v>
      </c>
      <c r="B60">
        <v>2015</v>
      </c>
      <c r="C60" t="s">
        <v>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"/>
  <sheetViews>
    <sheetView workbookViewId="0">
      <selection activeCell="I28" sqref="I28"/>
    </sheetView>
  </sheetViews>
  <sheetFormatPr defaultColWidth="9" defaultRowHeight="13.5" outlineLevelCol="4"/>
  <cols>
    <col min="1" max="1" width="10.3666666666667" customWidth="1"/>
    <col min="2" max="2" width="11.5416666666667" customWidth="1"/>
    <col min="4" max="5" width="11.5416666666667" customWidth="1"/>
    <col min="10" max="10" width="10.3666666666667" customWidth="1"/>
  </cols>
  <sheetData>
    <row r="1" spans="1:5">
      <c r="A1" t="s">
        <v>66</v>
      </c>
      <c r="B1" t="s">
        <v>67</v>
      </c>
      <c r="C1" t="s">
        <v>68</v>
      </c>
      <c r="D1" t="s">
        <v>69</v>
      </c>
      <c r="E1" t="s">
        <v>70</v>
      </c>
    </row>
    <row r="2" spans="1:5">
      <c r="A2">
        <v>-80</v>
      </c>
      <c r="B2">
        <v>-4</v>
      </c>
      <c r="C2">
        <v>4</v>
      </c>
      <c r="D2">
        <v>-4.5</v>
      </c>
      <c r="E2">
        <v>4.5</v>
      </c>
    </row>
    <row r="3" spans="1:5">
      <c r="A3">
        <v>-78</v>
      </c>
      <c r="B3">
        <v>-4</v>
      </c>
      <c r="C3">
        <v>4</v>
      </c>
      <c r="D3">
        <v>-4.5</v>
      </c>
      <c r="E3">
        <v>4.5</v>
      </c>
    </row>
    <row r="4" spans="1:5">
      <c r="A4">
        <v>-76</v>
      </c>
      <c r="B4">
        <v>-4</v>
      </c>
      <c r="C4">
        <v>4</v>
      </c>
      <c r="D4">
        <v>-4.5</v>
      </c>
      <c r="E4">
        <v>4.5</v>
      </c>
    </row>
    <row r="5" spans="1:5">
      <c r="A5">
        <v>-74</v>
      </c>
      <c r="B5">
        <v>-3</v>
      </c>
      <c r="C5">
        <v>3</v>
      </c>
      <c r="D5">
        <v>-4.5</v>
      </c>
      <c r="E5">
        <v>4.5</v>
      </c>
    </row>
    <row r="6" spans="1:5">
      <c r="A6">
        <v>-72</v>
      </c>
      <c r="B6">
        <v>-3</v>
      </c>
      <c r="C6">
        <v>3</v>
      </c>
      <c r="D6">
        <v>-4.5</v>
      </c>
      <c r="E6">
        <v>4.5</v>
      </c>
    </row>
    <row r="7" spans="1:5">
      <c r="A7">
        <v>-70</v>
      </c>
      <c r="B7">
        <v>-3</v>
      </c>
      <c r="C7">
        <v>3</v>
      </c>
      <c r="D7">
        <v>-4.5</v>
      </c>
      <c r="E7">
        <v>4.5</v>
      </c>
    </row>
    <row r="8" spans="1:5">
      <c r="A8">
        <v>-68</v>
      </c>
      <c r="B8">
        <v>-2.4</v>
      </c>
      <c r="C8" s="3">
        <v>2.4</v>
      </c>
      <c r="D8">
        <v>-4.5</v>
      </c>
      <c r="E8">
        <v>4.5</v>
      </c>
    </row>
    <row r="9" spans="1:5">
      <c r="A9">
        <v>-66</v>
      </c>
      <c r="B9">
        <v>-2.4</v>
      </c>
      <c r="C9" s="3">
        <v>2.4</v>
      </c>
      <c r="D9">
        <v>-4.5</v>
      </c>
      <c r="E9">
        <v>4.5</v>
      </c>
    </row>
    <row r="10" spans="1:5">
      <c r="A10">
        <v>-63</v>
      </c>
      <c r="B10">
        <v>-1.8</v>
      </c>
      <c r="C10">
        <v>1.8</v>
      </c>
      <c r="D10">
        <v>-4.5</v>
      </c>
      <c r="E10">
        <v>4.5</v>
      </c>
    </row>
    <row r="11" spans="1:5">
      <c r="A11">
        <v>-60</v>
      </c>
      <c r="B11">
        <v>-1.8</v>
      </c>
      <c r="C11">
        <v>1.8</v>
      </c>
      <c r="D11">
        <v>-4.5</v>
      </c>
      <c r="E11">
        <v>4.5</v>
      </c>
    </row>
    <row r="12" spans="1:5">
      <c r="A12">
        <v>-57</v>
      </c>
      <c r="B12">
        <v>-1</v>
      </c>
      <c r="C12">
        <v>1</v>
      </c>
      <c r="D12">
        <v>-4.5</v>
      </c>
      <c r="E12">
        <v>4.5</v>
      </c>
    </row>
    <row r="13" spans="1:5">
      <c r="A13">
        <v>-54</v>
      </c>
      <c r="B13">
        <v>-1</v>
      </c>
      <c r="C13">
        <v>1</v>
      </c>
      <c r="D13">
        <v>-4.5</v>
      </c>
      <c r="E13">
        <v>4.5</v>
      </c>
    </row>
    <row r="14" spans="1:5">
      <c r="A14">
        <v>-51</v>
      </c>
      <c r="B14">
        <v>-1</v>
      </c>
      <c r="C14">
        <v>1</v>
      </c>
      <c r="D14">
        <v>-4.5</v>
      </c>
      <c r="E14">
        <v>4.5</v>
      </c>
    </row>
    <row r="15" spans="1:5">
      <c r="A15">
        <v>-48</v>
      </c>
      <c r="B15">
        <v>-1</v>
      </c>
      <c r="C15">
        <v>1</v>
      </c>
      <c r="D15">
        <v>-4.5</v>
      </c>
      <c r="E15">
        <v>4.5</v>
      </c>
    </row>
    <row r="16" spans="1:5">
      <c r="A16">
        <v>-45</v>
      </c>
      <c r="B16">
        <v>-1</v>
      </c>
      <c r="C16">
        <v>1</v>
      </c>
      <c r="D16">
        <v>-4.5</v>
      </c>
      <c r="E16">
        <v>4.5</v>
      </c>
    </row>
    <row r="17" spans="1:5">
      <c r="A17">
        <v>-42</v>
      </c>
      <c r="B17">
        <v>-1</v>
      </c>
      <c r="C17">
        <v>1</v>
      </c>
      <c r="D17">
        <v>-4.5</v>
      </c>
      <c r="E17">
        <v>4.5</v>
      </c>
    </row>
    <row r="18" spans="1:5">
      <c r="A18">
        <v>-39</v>
      </c>
      <c r="B18">
        <v>-1</v>
      </c>
      <c r="C18">
        <v>1</v>
      </c>
      <c r="D18">
        <v>-4.5</v>
      </c>
      <c r="E18">
        <v>4.5</v>
      </c>
    </row>
    <row r="19" spans="1:5">
      <c r="A19">
        <v>-36</v>
      </c>
      <c r="B19">
        <v>-1</v>
      </c>
      <c r="C19">
        <v>1</v>
      </c>
      <c r="D19">
        <v>-4.5</v>
      </c>
      <c r="E19">
        <v>4.5</v>
      </c>
    </row>
    <row r="20" spans="1:5">
      <c r="A20">
        <v>-33</v>
      </c>
      <c r="B20">
        <v>-1</v>
      </c>
      <c r="C20">
        <v>1</v>
      </c>
      <c r="D20">
        <v>-4.5</v>
      </c>
      <c r="E20">
        <v>4.5</v>
      </c>
    </row>
    <row r="21" spans="1:5">
      <c r="A21">
        <v>-30</v>
      </c>
      <c r="B21">
        <v>-1</v>
      </c>
      <c r="C21">
        <v>1</v>
      </c>
      <c r="D21">
        <v>-4.5</v>
      </c>
      <c r="E21">
        <v>4.5</v>
      </c>
    </row>
    <row r="22" spans="1:5">
      <c r="A22">
        <v>-27</v>
      </c>
      <c r="B22">
        <v>-1</v>
      </c>
      <c r="C22">
        <v>1</v>
      </c>
      <c r="D22">
        <v>-4.5</v>
      </c>
      <c r="E22">
        <v>4.5</v>
      </c>
    </row>
    <row r="23" spans="1:5">
      <c r="A23">
        <v>-24</v>
      </c>
      <c r="B23">
        <v>-1</v>
      </c>
      <c r="C23">
        <v>1</v>
      </c>
      <c r="D23">
        <v>-4.5</v>
      </c>
      <c r="E23">
        <v>4.5</v>
      </c>
    </row>
    <row r="24" spans="1:5">
      <c r="A24">
        <v>-21</v>
      </c>
      <c r="B24">
        <v>-1</v>
      </c>
      <c r="C24">
        <v>1</v>
      </c>
      <c r="D24">
        <v>-4.5</v>
      </c>
      <c r="E24">
        <v>4.5</v>
      </c>
    </row>
    <row r="25" spans="1:5">
      <c r="A25">
        <v>-18</v>
      </c>
      <c r="B25">
        <v>-1</v>
      </c>
      <c r="C25">
        <v>1</v>
      </c>
      <c r="D25">
        <v>-4.5</v>
      </c>
      <c r="E25">
        <v>4.5</v>
      </c>
    </row>
    <row r="26" spans="1:5">
      <c r="A26">
        <v>-15</v>
      </c>
      <c r="B26">
        <v>-1</v>
      </c>
      <c r="C26">
        <v>1</v>
      </c>
      <c r="D26">
        <v>-4.5</v>
      </c>
      <c r="E26">
        <v>4.5</v>
      </c>
    </row>
    <row r="27" spans="1:5">
      <c r="A27">
        <v>-12</v>
      </c>
      <c r="B27">
        <v>-1</v>
      </c>
      <c r="C27">
        <v>1</v>
      </c>
      <c r="D27">
        <v>-4.5</v>
      </c>
      <c r="E27">
        <v>4.5</v>
      </c>
    </row>
    <row r="28" spans="1:5">
      <c r="A28">
        <v>-9</v>
      </c>
      <c r="B28">
        <v>-1</v>
      </c>
      <c r="C28">
        <v>1</v>
      </c>
      <c r="D28">
        <v>-4.5</v>
      </c>
      <c r="E28">
        <v>4.5</v>
      </c>
    </row>
    <row r="29" spans="1:5">
      <c r="A29">
        <v>-6</v>
      </c>
      <c r="B29">
        <v>-1</v>
      </c>
      <c r="C29">
        <v>1</v>
      </c>
      <c r="D29">
        <v>-4.5</v>
      </c>
      <c r="E29">
        <v>4.5</v>
      </c>
    </row>
    <row r="30" spans="1:5">
      <c r="A30">
        <v>-3</v>
      </c>
      <c r="B30">
        <v>-1</v>
      </c>
      <c r="C30">
        <v>1</v>
      </c>
      <c r="D30">
        <v>-4.5</v>
      </c>
      <c r="E30">
        <v>4.5</v>
      </c>
    </row>
    <row r="31" spans="1:5">
      <c r="A31">
        <v>0</v>
      </c>
      <c r="B31">
        <v>-1</v>
      </c>
      <c r="C31">
        <v>1</v>
      </c>
      <c r="D31">
        <v>-4.5</v>
      </c>
      <c r="E31">
        <v>4.5</v>
      </c>
    </row>
    <row r="32" spans="1:5">
      <c r="A32">
        <v>3</v>
      </c>
      <c r="B32">
        <v>-1</v>
      </c>
      <c r="C32">
        <v>1</v>
      </c>
      <c r="D32">
        <v>-4.5</v>
      </c>
      <c r="E32">
        <v>4.5</v>
      </c>
    </row>
    <row r="33" spans="1:5">
      <c r="A33">
        <v>6</v>
      </c>
      <c r="B33">
        <v>-1</v>
      </c>
      <c r="C33">
        <v>1</v>
      </c>
      <c r="D33">
        <v>-4.5</v>
      </c>
      <c r="E33">
        <v>4.5</v>
      </c>
    </row>
    <row r="34" spans="1:5">
      <c r="A34">
        <v>9</v>
      </c>
      <c r="B34">
        <v>-1</v>
      </c>
      <c r="C34">
        <v>1</v>
      </c>
      <c r="D34">
        <v>-4.5</v>
      </c>
      <c r="E34">
        <v>4.5</v>
      </c>
    </row>
    <row r="35" spans="1:5">
      <c r="A35">
        <v>12</v>
      </c>
      <c r="B35">
        <v>-1</v>
      </c>
      <c r="C35">
        <v>1</v>
      </c>
      <c r="D35">
        <v>-4.5</v>
      </c>
      <c r="E35">
        <v>4.5</v>
      </c>
    </row>
    <row r="36" spans="1:5">
      <c r="A36">
        <v>15</v>
      </c>
      <c r="B36">
        <v>-1</v>
      </c>
      <c r="C36">
        <v>1</v>
      </c>
      <c r="D36">
        <v>-4.5</v>
      </c>
      <c r="E36">
        <v>4.5</v>
      </c>
    </row>
    <row r="37" spans="1:5">
      <c r="A37">
        <v>18</v>
      </c>
      <c r="B37">
        <v>-1</v>
      </c>
      <c r="C37">
        <v>1</v>
      </c>
      <c r="D37">
        <v>-4.5</v>
      </c>
      <c r="E37">
        <v>4.5</v>
      </c>
    </row>
    <row r="38" spans="1:5">
      <c r="A38">
        <v>21</v>
      </c>
      <c r="B38">
        <v>-1</v>
      </c>
      <c r="C38">
        <v>1</v>
      </c>
      <c r="D38">
        <v>-4.5</v>
      </c>
      <c r="E38">
        <v>4.5</v>
      </c>
    </row>
    <row r="39" spans="1:5">
      <c r="A39">
        <v>24</v>
      </c>
      <c r="B39">
        <v>-1</v>
      </c>
      <c r="C39">
        <v>1</v>
      </c>
      <c r="D39">
        <v>-4.5</v>
      </c>
      <c r="E39">
        <v>4.5</v>
      </c>
    </row>
    <row r="40" spans="1:5">
      <c r="A40">
        <v>27</v>
      </c>
      <c r="B40">
        <v>-1</v>
      </c>
      <c r="C40">
        <v>1</v>
      </c>
      <c r="D40">
        <v>-4.5</v>
      </c>
      <c r="E40">
        <v>4.5</v>
      </c>
    </row>
    <row r="41" spans="1:5">
      <c r="A41">
        <v>30</v>
      </c>
      <c r="B41">
        <v>-1</v>
      </c>
      <c r="C41">
        <v>1</v>
      </c>
      <c r="D41">
        <v>-4.5</v>
      </c>
      <c r="E41">
        <v>4.5</v>
      </c>
    </row>
    <row r="42" spans="1:5">
      <c r="A42">
        <v>33</v>
      </c>
      <c r="B42">
        <v>-1</v>
      </c>
      <c r="C42">
        <v>1</v>
      </c>
      <c r="D42">
        <v>-4.5</v>
      </c>
      <c r="E42">
        <v>4.5</v>
      </c>
    </row>
    <row r="43" spans="1:5">
      <c r="A43">
        <v>36</v>
      </c>
      <c r="B43">
        <v>-1</v>
      </c>
      <c r="C43">
        <v>1</v>
      </c>
      <c r="D43">
        <v>-4.5</v>
      </c>
      <c r="E43">
        <v>4.5</v>
      </c>
    </row>
    <row r="44" spans="1:5">
      <c r="A44">
        <v>39</v>
      </c>
      <c r="B44">
        <v>-1</v>
      </c>
      <c r="C44">
        <v>1</v>
      </c>
      <c r="D44">
        <v>-4.5</v>
      </c>
      <c r="E44">
        <v>4.5</v>
      </c>
    </row>
    <row r="45" spans="1:5">
      <c r="A45">
        <v>42</v>
      </c>
      <c r="B45">
        <v>-1</v>
      </c>
      <c r="C45">
        <v>1</v>
      </c>
      <c r="D45">
        <v>-4.5</v>
      </c>
      <c r="E45">
        <v>4.5</v>
      </c>
    </row>
    <row r="46" spans="1:5">
      <c r="A46">
        <v>45</v>
      </c>
      <c r="B46">
        <v>-1</v>
      </c>
      <c r="C46">
        <v>1</v>
      </c>
      <c r="D46">
        <v>-4.5</v>
      </c>
      <c r="E46">
        <v>4.5</v>
      </c>
    </row>
    <row r="47" spans="1:5">
      <c r="A47">
        <v>48</v>
      </c>
      <c r="B47">
        <v>-1</v>
      </c>
      <c r="C47">
        <v>1</v>
      </c>
      <c r="D47">
        <v>-4.5</v>
      </c>
      <c r="E47">
        <v>4.5</v>
      </c>
    </row>
    <row r="48" spans="1:5">
      <c r="A48">
        <v>51</v>
      </c>
      <c r="B48">
        <v>-1</v>
      </c>
      <c r="C48">
        <v>1</v>
      </c>
      <c r="D48">
        <v>-4.5</v>
      </c>
      <c r="E48">
        <v>4.5</v>
      </c>
    </row>
    <row r="49" spans="1:5">
      <c r="A49">
        <v>54</v>
      </c>
      <c r="B49">
        <v>-1</v>
      </c>
      <c r="C49">
        <v>1</v>
      </c>
      <c r="D49">
        <v>-4.5</v>
      </c>
      <c r="E49">
        <v>4.5</v>
      </c>
    </row>
    <row r="50" spans="1:5">
      <c r="A50">
        <v>57</v>
      </c>
      <c r="B50">
        <v>-1</v>
      </c>
      <c r="C50">
        <v>1</v>
      </c>
      <c r="D50">
        <v>-4.5</v>
      </c>
      <c r="E50">
        <v>4.5</v>
      </c>
    </row>
    <row r="51" spans="1:5">
      <c r="A51">
        <v>60</v>
      </c>
      <c r="B51">
        <v>-1.8</v>
      </c>
      <c r="C51">
        <v>1.8</v>
      </c>
      <c r="D51">
        <v>-4.5</v>
      </c>
      <c r="E51">
        <v>4.5</v>
      </c>
    </row>
    <row r="52" spans="1:5">
      <c r="A52">
        <v>63</v>
      </c>
      <c r="B52">
        <v>-1.8</v>
      </c>
      <c r="C52">
        <v>1.8</v>
      </c>
      <c r="D52">
        <v>-4.5</v>
      </c>
      <c r="E52">
        <v>4.5</v>
      </c>
    </row>
    <row r="53" spans="1:5">
      <c r="A53">
        <v>66</v>
      </c>
      <c r="B53">
        <v>-2.4</v>
      </c>
      <c r="C53">
        <v>2.4</v>
      </c>
      <c r="D53">
        <v>-4.5</v>
      </c>
      <c r="E53">
        <v>4.5</v>
      </c>
    </row>
    <row r="54" spans="1:5">
      <c r="A54">
        <v>68</v>
      </c>
      <c r="B54">
        <v>-2.4</v>
      </c>
      <c r="C54">
        <v>2.4</v>
      </c>
      <c r="D54">
        <v>-4.5</v>
      </c>
      <c r="E54">
        <v>4.5</v>
      </c>
    </row>
    <row r="55" spans="1:5">
      <c r="A55">
        <v>70</v>
      </c>
      <c r="B55">
        <v>-3</v>
      </c>
      <c r="C55">
        <v>3</v>
      </c>
      <c r="D55">
        <v>-4.5</v>
      </c>
      <c r="E55">
        <v>4.5</v>
      </c>
    </row>
    <row r="56" spans="1:5">
      <c r="A56">
        <v>72</v>
      </c>
      <c r="B56">
        <v>-3</v>
      </c>
      <c r="C56">
        <v>3</v>
      </c>
      <c r="D56">
        <v>-4.5</v>
      </c>
      <c r="E56">
        <v>4.5</v>
      </c>
    </row>
    <row r="57" spans="1:5">
      <c r="A57">
        <v>74</v>
      </c>
      <c r="B57">
        <v>-3</v>
      </c>
      <c r="C57">
        <v>3</v>
      </c>
      <c r="D57">
        <v>-4.5</v>
      </c>
      <c r="E57">
        <v>4.5</v>
      </c>
    </row>
    <row r="58" spans="1:5">
      <c r="A58">
        <v>76</v>
      </c>
      <c r="B58">
        <v>-4</v>
      </c>
      <c r="C58">
        <v>4</v>
      </c>
      <c r="D58">
        <v>-4.5</v>
      </c>
      <c r="E58">
        <v>4.5</v>
      </c>
    </row>
    <row r="59" spans="1:5">
      <c r="A59">
        <v>78</v>
      </c>
      <c r="B59">
        <v>-4</v>
      </c>
      <c r="C59">
        <v>4</v>
      </c>
      <c r="D59">
        <v>-4.5</v>
      </c>
      <c r="E59">
        <v>4.5</v>
      </c>
    </row>
    <row r="60" spans="1:5">
      <c r="A60">
        <v>80</v>
      </c>
      <c r="B60">
        <v>-4</v>
      </c>
      <c r="C60">
        <v>4</v>
      </c>
      <c r="D60">
        <v>-4.5</v>
      </c>
      <c r="E60">
        <v>4.5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workbookViewId="0">
      <pane xSplit="1" topLeftCell="B1" activePane="topRight" state="frozen"/>
      <selection/>
      <selection pane="topRight" activeCell="D30" sqref="D30"/>
    </sheetView>
  </sheetViews>
  <sheetFormatPr defaultColWidth="9" defaultRowHeight="13.5" outlineLevelRow="6"/>
  <cols>
    <col min="1" max="2" width="10.2666666666667" customWidth="1"/>
    <col min="3" max="3" width="11.3666666666667" customWidth="1"/>
    <col min="4" max="4" width="13.5416666666667" customWidth="1"/>
    <col min="5" max="5" width="14.6333333333333" customWidth="1"/>
    <col min="6" max="6" width="10.2666666666667" customWidth="1"/>
    <col min="7" max="9" width="11.3666666666667" customWidth="1"/>
    <col min="10" max="10" width="8.26666666666667" customWidth="1"/>
    <col min="11" max="11" width="9.26666666666667" customWidth="1"/>
    <col min="12" max="12" width="10.2666666666667" customWidth="1"/>
    <col min="13" max="13" width="11.3666666666667" customWidth="1"/>
    <col min="14" max="14" width="13.5416666666667" customWidth="1"/>
    <col min="15" max="15" width="14.6333333333333" customWidth="1"/>
    <col min="19" max="19" width="9" style="1"/>
  </cols>
  <sheetData>
    <row r="1" spans="1:19">
      <c r="A1" s="2" t="s">
        <v>66</v>
      </c>
      <c r="B1" s="2" t="s">
        <v>71</v>
      </c>
      <c r="C1" s="2" t="s">
        <v>72</v>
      </c>
      <c r="D1" s="2" t="s">
        <v>73</v>
      </c>
      <c r="E1" s="2" t="s">
        <v>74</v>
      </c>
      <c r="F1" s="2" t="s">
        <v>75</v>
      </c>
      <c r="G1" s="2" t="s">
        <v>76</v>
      </c>
      <c r="H1" s="2" t="s">
        <v>77</v>
      </c>
      <c r="I1" s="2" t="s">
        <v>76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S1"/>
    </row>
    <row r="2" spans="1:19">
      <c r="A2" s="2">
        <v>75.5</v>
      </c>
      <c r="B2" s="2">
        <v>49.68</v>
      </c>
      <c r="C2" s="2">
        <v>49.95</v>
      </c>
      <c r="D2" s="2">
        <v>-0.1</v>
      </c>
      <c r="E2" s="2">
        <v>0.1</v>
      </c>
      <c r="F2" s="2">
        <f>A2-1.2</f>
        <v>74.3</v>
      </c>
      <c r="G2" s="2">
        <f>A2+1.2</f>
        <v>76.7</v>
      </c>
      <c r="H2" s="2">
        <v>-1.5</v>
      </c>
      <c r="I2" s="2">
        <v>1.5</v>
      </c>
      <c r="J2">
        <v>26</v>
      </c>
      <c r="K2">
        <v>34</v>
      </c>
      <c r="L2">
        <v>51</v>
      </c>
      <c r="M2">
        <v>63</v>
      </c>
      <c r="N2">
        <v>90</v>
      </c>
      <c r="O2">
        <v>100</v>
      </c>
      <c r="S2"/>
    </row>
    <row r="3" spans="1:19">
      <c r="A3" s="2">
        <v>45.5</v>
      </c>
      <c r="B3" s="2">
        <v>49.68</v>
      </c>
      <c r="C3" s="2">
        <v>49.95</v>
      </c>
      <c r="D3" s="2">
        <v>-0.1</v>
      </c>
      <c r="E3" s="2">
        <v>0.1</v>
      </c>
      <c r="F3" s="2">
        <f t="shared" ref="F3" si="0">A3-0.2</f>
        <v>45.3</v>
      </c>
      <c r="G3" s="2">
        <f t="shared" ref="G3" si="1">A3+0.2</f>
        <v>45.7</v>
      </c>
      <c r="H3" s="2">
        <v>-1.5</v>
      </c>
      <c r="I3" s="2">
        <v>1.5</v>
      </c>
      <c r="J3">
        <v>27</v>
      </c>
      <c r="K3">
        <v>33</v>
      </c>
      <c r="L3">
        <v>72.5</v>
      </c>
      <c r="M3">
        <v>84.5</v>
      </c>
      <c r="N3">
        <v>90</v>
      </c>
      <c r="O3">
        <v>100</v>
      </c>
      <c r="S3"/>
    </row>
    <row r="4" spans="1:19">
      <c r="A4" s="2">
        <v>-0.5</v>
      </c>
      <c r="B4" s="2">
        <v>49.68</v>
      </c>
      <c r="C4" s="2">
        <v>49.95</v>
      </c>
      <c r="D4" s="2">
        <v>-0.1</v>
      </c>
      <c r="E4" s="2">
        <v>0.1</v>
      </c>
      <c r="F4" s="2">
        <f t="shared" ref="F4:F5" si="2">A4-0.5</f>
        <v>-1</v>
      </c>
      <c r="G4" s="2">
        <f t="shared" ref="G4:G5" si="3">A4+0.5</f>
        <v>0</v>
      </c>
      <c r="H4" s="2">
        <v>-0.8</v>
      </c>
      <c r="I4" s="2">
        <v>0.8</v>
      </c>
      <c r="J4">
        <v>27</v>
      </c>
      <c r="K4">
        <v>33</v>
      </c>
      <c r="L4">
        <v>63.2</v>
      </c>
      <c r="M4">
        <v>79.8</v>
      </c>
      <c r="N4">
        <v>90</v>
      </c>
      <c r="O4">
        <v>100</v>
      </c>
      <c r="S4"/>
    </row>
    <row r="5" spans="1:19">
      <c r="A5" s="2">
        <v>-4.5</v>
      </c>
      <c r="B5" s="2">
        <v>49.68</v>
      </c>
      <c r="C5" s="2">
        <v>49.95</v>
      </c>
      <c r="D5" s="2">
        <v>-0.1</v>
      </c>
      <c r="E5" s="2">
        <v>0.1</v>
      </c>
      <c r="F5" s="2">
        <f t="shared" si="2"/>
        <v>-5</v>
      </c>
      <c r="G5" s="2">
        <f t="shared" si="3"/>
        <v>-4</v>
      </c>
      <c r="H5" s="2">
        <v>-0.8</v>
      </c>
      <c r="I5" s="2">
        <v>0.8</v>
      </c>
      <c r="J5">
        <v>27</v>
      </c>
      <c r="K5">
        <v>33</v>
      </c>
      <c r="L5">
        <v>63.6</v>
      </c>
      <c r="M5">
        <v>79.4</v>
      </c>
      <c r="N5">
        <v>90</v>
      </c>
      <c r="O5">
        <v>100</v>
      </c>
      <c r="S5"/>
    </row>
    <row r="6" spans="1:19">
      <c r="A6" s="2">
        <v>-44.5</v>
      </c>
      <c r="B6" s="2">
        <v>49.68</v>
      </c>
      <c r="C6" s="2">
        <v>49.95</v>
      </c>
      <c r="D6" s="2">
        <v>-0.1</v>
      </c>
      <c r="E6" s="2">
        <v>0.1</v>
      </c>
      <c r="F6" s="2">
        <f t="shared" ref="F6" si="4">A6-0.5</f>
        <v>-45</v>
      </c>
      <c r="G6" s="2">
        <f t="shared" ref="G6" si="5">A6+0.5</f>
        <v>-44</v>
      </c>
      <c r="H6" s="2">
        <v>-0.8</v>
      </c>
      <c r="I6" s="2">
        <v>0.8</v>
      </c>
      <c r="J6">
        <v>27</v>
      </c>
      <c r="K6">
        <v>33</v>
      </c>
      <c r="L6">
        <v>73.5</v>
      </c>
      <c r="M6">
        <v>85.5</v>
      </c>
      <c r="N6">
        <v>90</v>
      </c>
      <c r="O6">
        <v>100</v>
      </c>
      <c r="S6"/>
    </row>
    <row r="7" spans="1:19">
      <c r="A7" s="2">
        <v>-74.5</v>
      </c>
      <c r="B7" s="2">
        <v>49.68</v>
      </c>
      <c r="C7" s="2">
        <v>49.95</v>
      </c>
      <c r="D7" s="2">
        <v>-0.1</v>
      </c>
      <c r="E7" s="2">
        <v>0.1</v>
      </c>
      <c r="F7" s="2">
        <f t="shared" ref="F7" si="6">A7-1.2</f>
        <v>-75.7</v>
      </c>
      <c r="G7" s="2">
        <f t="shared" ref="G7" si="7">A7+1.2</f>
        <v>-73.3</v>
      </c>
      <c r="H7" s="2">
        <v>-0.8</v>
      </c>
      <c r="I7" s="2">
        <v>0.8</v>
      </c>
      <c r="J7">
        <v>26</v>
      </c>
      <c r="K7">
        <v>34</v>
      </c>
      <c r="L7">
        <v>54</v>
      </c>
      <c r="M7">
        <v>66</v>
      </c>
      <c r="N7">
        <v>90</v>
      </c>
      <c r="O7">
        <v>100</v>
      </c>
    </row>
  </sheetData>
  <pageMargins left="0.75" right="0.75" top="1" bottom="1" header="0.5" footer="0.5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1"/>
  <sheetViews>
    <sheetView workbookViewId="0">
      <selection activeCell="A1" sqref="A1"/>
    </sheetView>
  </sheetViews>
  <sheetFormatPr defaultColWidth="9" defaultRowHeight="13.5" outlineLevelCol="2"/>
  <sheetData>
    <row r="1" spans="1:3">
      <c r="A1" t="s">
        <v>84</v>
      </c>
      <c r="B1" t="s">
        <v>85</v>
      </c>
      <c r="C1" t="s">
        <v>2</v>
      </c>
    </row>
    <row r="2" spans="1:3">
      <c r="A2" t="s">
        <v>86</v>
      </c>
      <c r="B2" t="s">
        <v>87</v>
      </c>
      <c r="C2" t="s">
        <v>88</v>
      </c>
    </row>
    <row r="3" spans="1:3">
      <c r="A3" t="s">
        <v>89</v>
      </c>
      <c r="B3" t="s">
        <v>87</v>
      </c>
      <c r="C3" t="s">
        <v>90</v>
      </c>
    </row>
    <row r="4" spans="1:3">
      <c r="A4" t="s">
        <v>91</v>
      </c>
      <c r="B4" t="s">
        <v>87</v>
      </c>
      <c r="C4" t="s">
        <v>90</v>
      </c>
    </row>
    <row r="5" spans="1:3">
      <c r="A5" t="s">
        <v>10</v>
      </c>
      <c r="B5" t="s">
        <v>92</v>
      </c>
      <c r="C5" t="s">
        <v>93</v>
      </c>
    </row>
    <row r="6" spans="1:3">
      <c r="A6" t="s">
        <v>12</v>
      </c>
      <c r="B6" t="s">
        <v>92</v>
      </c>
      <c r="C6" t="s">
        <v>93</v>
      </c>
    </row>
    <row r="7" spans="1:3">
      <c r="A7" t="s">
        <v>13</v>
      </c>
      <c r="B7" t="s">
        <v>92</v>
      </c>
      <c r="C7" t="s">
        <v>93</v>
      </c>
    </row>
    <row r="8" spans="1:3">
      <c r="A8" t="s">
        <v>94</v>
      </c>
      <c r="B8" t="s">
        <v>87</v>
      </c>
      <c r="C8" t="s">
        <v>95</v>
      </c>
    </row>
    <row r="9" spans="1:3">
      <c r="A9" t="s">
        <v>96</v>
      </c>
      <c r="B9" t="s">
        <v>87</v>
      </c>
      <c r="C9" t="s">
        <v>88</v>
      </c>
    </row>
    <row r="10" spans="1:3">
      <c r="A10" t="s">
        <v>97</v>
      </c>
      <c r="B10" t="s">
        <v>87</v>
      </c>
      <c r="C10" t="s">
        <v>98</v>
      </c>
    </row>
    <row r="11" spans="1:3">
      <c r="A11" t="s">
        <v>99</v>
      </c>
      <c r="B11" t="s">
        <v>87</v>
      </c>
      <c r="C11" t="s">
        <v>95</v>
      </c>
    </row>
    <row r="12" spans="1:3">
      <c r="A12" t="s">
        <v>100</v>
      </c>
      <c r="B12" t="s">
        <v>87</v>
      </c>
      <c r="C12" t="s">
        <v>95</v>
      </c>
    </row>
    <row r="13" spans="1:3">
      <c r="A13" t="s">
        <v>101</v>
      </c>
      <c r="B13" t="s">
        <v>87</v>
      </c>
      <c r="C13" t="s">
        <v>95</v>
      </c>
    </row>
    <row r="14" spans="1:3">
      <c r="A14" t="s">
        <v>102</v>
      </c>
      <c r="B14" t="s">
        <v>87</v>
      </c>
      <c r="C14" t="s">
        <v>95</v>
      </c>
    </row>
    <row r="15" spans="1:3">
      <c r="A15" t="s">
        <v>103</v>
      </c>
      <c r="B15" t="s">
        <v>87</v>
      </c>
      <c r="C15" t="s">
        <v>104</v>
      </c>
    </row>
    <row r="16" spans="1:3">
      <c r="A16" t="s">
        <v>105</v>
      </c>
      <c r="B16" t="s">
        <v>87</v>
      </c>
      <c r="C16" t="s">
        <v>95</v>
      </c>
    </row>
    <row r="17" spans="1:3">
      <c r="A17" t="s">
        <v>106</v>
      </c>
      <c r="B17" t="s">
        <v>87</v>
      </c>
      <c r="C17" t="s">
        <v>95</v>
      </c>
    </row>
    <row r="18" spans="1:3">
      <c r="A18" t="s">
        <v>107</v>
      </c>
      <c r="B18" t="s">
        <v>87</v>
      </c>
      <c r="C18" t="s">
        <v>108</v>
      </c>
    </row>
    <row r="19" spans="1:3">
      <c r="A19" t="s">
        <v>109</v>
      </c>
      <c r="B19" t="s">
        <v>87</v>
      </c>
      <c r="C19" t="s">
        <v>90</v>
      </c>
    </row>
    <row r="20" spans="1:3">
      <c r="A20" t="s">
        <v>110</v>
      </c>
      <c r="B20" t="s">
        <v>87</v>
      </c>
      <c r="C20" t="s">
        <v>90</v>
      </c>
    </row>
    <row r="21" spans="1:3">
      <c r="A21" t="s">
        <v>111</v>
      </c>
      <c r="B21" t="s">
        <v>87</v>
      </c>
      <c r="C21" t="s">
        <v>90</v>
      </c>
    </row>
    <row r="22" spans="1:3">
      <c r="A22" t="s">
        <v>112</v>
      </c>
      <c r="B22" t="s">
        <v>87</v>
      </c>
      <c r="C22" t="s">
        <v>90</v>
      </c>
    </row>
    <row r="23" spans="1:3">
      <c r="A23" t="s">
        <v>113</v>
      </c>
      <c r="B23" t="s">
        <v>87</v>
      </c>
      <c r="C23" t="s">
        <v>90</v>
      </c>
    </row>
    <row r="24" spans="1:3">
      <c r="A24" t="s">
        <v>114</v>
      </c>
      <c r="B24" t="s">
        <v>87</v>
      </c>
      <c r="C24" t="s">
        <v>90</v>
      </c>
    </row>
    <row r="25" spans="1:3">
      <c r="A25" t="s">
        <v>115</v>
      </c>
      <c r="B25" t="s">
        <v>87</v>
      </c>
      <c r="C25" t="s">
        <v>90</v>
      </c>
    </row>
    <row r="26" spans="1:3">
      <c r="A26" t="s">
        <v>116</v>
      </c>
      <c r="B26" t="s">
        <v>87</v>
      </c>
      <c r="C26" t="s">
        <v>90</v>
      </c>
    </row>
    <row r="27" spans="1:3">
      <c r="A27" t="s">
        <v>117</v>
      </c>
      <c r="B27" t="s">
        <v>87</v>
      </c>
      <c r="C27" t="s">
        <v>90</v>
      </c>
    </row>
    <row r="28" spans="1:3">
      <c r="A28" t="s">
        <v>118</v>
      </c>
      <c r="B28" t="s">
        <v>87</v>
      </c>
      <c r="C28" t="s">
        <v>90</v>
      </c>
    </row>
    <row r="29" spans="1:3">
      <c r="A29" t="s">
        <v>119</v>
      </c>
      <c r="B29" t="s">
        <v>87</v>
      </c>
      <c r="C29" t="s">
        <v>90</v>
      </c>
    </row>
    <row r="30" spans="1:3">
      <c r="A30" t="s">
        <v>120</v>
      </c>
      <c r="B30" t="s">
        <v>87</v>
      </c>
      <c r="C30" t="s">
        <v>90</v>
      </c>
    </row>
    <row r="31" spans="1:3">
      <c r="A31" t="s">
        <v>121</v>
      </c>
      <c r="B31" t="s">
        <v>87</v>
      </c>
      <c r="C31" t="s">
        <v>90</v>
      </c>
    </row>
    <row r="32" spans="1:3">
      <c r="A32" t="s">
        <v>122</v>
      </c>
      <c r="B32" t="s">
        <v>87</v>
      </c>
      <c r="C32" t="s">
        <v>90</v>
      </c>
    </row>
    <row r="33" spans="1:3">
      <c r="A33" t="s">
        <v>123</v>
      </c>
      <c r="B33" t="s">
        <v>87</v>
      </c>
      <c r="C33" t="s">
        <v>90</v>
      </c>
    </row>
    <row r="34" spans="1:3">
      <c r="A34" t="s">
        <v>124</v>
      </c>
      <c r="B34" t="s">
        <v>87</v>
      </c>
      <c r="C34" t="s">
        <v>90</v>
      </c>
    </row>
    <row r="35" spans="1:3">
      <c r="A35" t="s">
        <v>125</v>
      </c>
      <c r="B35" t="s">
        <v>87</v>
      </c>
      <c r="C35" t="s">
        <v>90</v>
      </c>
    </row>
    <row r="36" spans="1:3">
      <c r="A36" t="s">
        <v>126</v>
      </c>
      <c r="B36" t="s">
        <v>87</v>
      </c>
      <c r="C36" t="s">
        <v>127</v>
      </c>
    </row>
    <row r="37" spans="1:3">
      <c r="A37" t="s">
        <v>107</v>
      </c>
      <c r="B37" t="s">
        <v>87</v>
      </c>
      <c r="C37" t="s">
        <v>108</v>
      </c>
    </row>
    <row r="38" spans="1:3">
      <c r="A38" t="s">
        <v>128</v>
      </c>
      <c r="B38" t="s">
        <v>87</v>
      </c>
      <c r="C38" t="s">
        <v>90</v>
      </c>
    </row>
    <row r="39" spans="1:3">
      <c r="A39" t="s">
        <v>129</v>
      </c>
      <c r="B39" t="s">
        <v>87</v>
      </c>
      <c r="C39" t="s">
        <v>90</v>
      </c>
    </row>
    <row r="40" spans="1:3">
      <c r="A40" t="s">
        <v>126</v>
      </c>
      <c r="B40" t="s">
        <v>87</v>
      </c>
      <c r="C40" t="s">
        <v>127</v>
      </c>
    </row>
    <row r="41" spans="1:3">
      <c r="A41" t="s">
        <v>130</v>
      </c>
      <c r="B41" t="s">
        <v>87</v>
      </c>
      <c r="C41" t="s">
        <v>95</v>
      </c>
    </row>
    <row r="42" spans="1:3">
      <c r="A42" t="s">
        <v>131</v>
      </c>
      <c r="B42" t="s">
        <v>87</v>
      </c>
      <c r="C42" t="s">
        <v>88</v>
      </c>
    </row>
    <row r="43" spans="1:3">
      <c r="A43" t="s">
        <v>132</v>
      </c>
      <c r="B43" t="s">
        <v>87</v>
      </c>
      <c r="C43" t="s">
        <v>95</v>
      </c>
    </row>
    <row r="44" spans="1:3">
      <c r="A44" t="s">
        <v>107</v>
      </c>
      <c r="B44" t="s">
        <v>87</v>
      </c>
      <c r="C44" t="s">
        <v>108</v>
      </c>
    </row>
    <row r="45" spans="1:3">
      <c r="A45" t="s">
        <v>133</v>
      </c>
      <c r="B45" t="s">
        <v>87</v>
      </c>
      <c r="C45" t="s">
        <v>98</v>
      </c>
    </row>
    <row r="46" spans="1:3">
      <c r="A46" t="s">
        <v>134</v>
      </c>
      <c r="B46" t="s">
        <v>87</v>
      </c>
      <c r="C46" t="s">
        <v>95</v>
      </c>
    </row>
    <row r="47" spans="1:3">
      <c r="A47" t="s">
        <v>135</v>
      </c>
      <c r="B47" t="s">
        <v>87</v>
      </c>
      <c r="C47" t="s">
        <v>90</v>
      </c>
    </row>
    <row r="48" spans="1:3">
      <c r="A48" t="s">
        <v>136</v>
      </c>
      <c r="B48" t="s">
        <v>87</v>
      </c>
      <c r="C48" t="s">
        <v>90</v>
      </c>
    </row>
    <row r="49" spans="1:3">
      <c r="A49" t="s">
        <v>137</v>
      </c>
      <c r="B49" t="s">
        <v>92</v>
      </c>
      <c r="C49" t="s">
        <v>95</v>
      </c>
    </row>
    <row r="50" spans="1:3">
      <c r="A50" t="s">
        <v>126</v>
      </c>
      <c r="B50" t="s">
        <v>87</v>
      </c>
      <c r="C50" t="s">
        <v>127</v>
      </c>
    </row>
    <row r="51" spans="1:3">
      <c r="A51" t="s">
        <v>138</v>
      </c>
      <c r="B51" t="s">
        <v>87</v>
      </c>
      <c r="C51" t="s">
        <v>138</v>
      </c>
    </row>
    <row r="52" spans="1:3">
      <c r="A52" t="s">
        <v>139</v>
      </c>
      <c r="B52" t="s">
        <v>87</v>
      </c>
      <c r="C52" t="s">
        <v>98</v>
      </c>
    </row>
    <row r="53" spans="1:3">
      <c r="A53" t="s">
        <v>140</v>
      </c>
      <c r="B53" t="s">
        <v>87</v>
      </c>
      <c r="C53" t="s">
        <v>141</v>
      </c>
    </row>
    <row r="54" spans="1:3">
      <c r="A54" t="s">
        <v>138</v>
      </c>
      <c r="B54" t="s">
        <v>87</v>
      </c>
      <c r="C54" t="s">
        <v>138</v>
      </c>
    </row>
    <row r="55" spans="1:3">
      <c r="A55" t="s">
        <v>142</v>
      </c>
      <c r="B55" t="s">
        <v>87</v>
      </c>
      <c r="C55" t="s">
        <v>88</v>
      </c>
    </row>
    <row r="56" spans="1:3">
      <c r="A56" t="s">
        <v>99</v>
      </c>
      <c r="B56" t="s">
        <v>87</v>
      </c>
      <c r="C56" t="s">
        <v>95</v>
      </c>
    </row>
    <row r="57" spans="1:3">
      <c r="A57" t="s">
        <v>143</v>
      </c>
      <c r="B57" t="s">
        <v>87</v>
      </c>
      <c r="C57" t="s">
        <v>104</v>
      </c>
    </row>
    <row r="58" spans="1:3">
      <c r="A58" t="s">
        <v>100</v>
      </c>
      <c r="B58" t="s">
        <v>87</v>
      </c>
      <c r="C58" t="s">
        <v>95</v>
      </c>
    </row>
    <row r="59" spans="1:3">
      <c r="A59" t="s">
        <v>101</v>
      </c>
      <c r="B59" t="s">
        <v>87</v>
      </c>
      <c r="C59" t="s">
        <v>95</v>
      </c>
    </row>
    <row r="60" spans="1:3">
      <c r="A60" t="s">
        <v>144</v>
      </c>
      <c r="B60" t="s">
        <v>87</v>
      </c>
      <c r="C60" t="s">
        <v>95</v>
      </c>
    </row>
    <row r="61" spans="1:3">
      <c r="A61" t="s">
        <v>107</v>
      </c>
      <c r="B61" t="s">
        <v>87</v>
      </c>
      <c r="C61" t="s">
        <v>108</v>
      </c>
    </row>
    <row r="62" spans="1:3">
      <c r="A62" t="s">
        <v>133</v>
      </c>
      <c r="B62" t="s">
        <v>87</v>
      </c>
      <c r="C62" t="s">
        <v>98</v>
      </c>
    </row>
    <row r="63" spans="1:3">
      <c r="A63" t="s">
        <v>134</v>
      </c>
      <c r="B63" t="s">
        <v>87</v>
      </c>
      <c r="C63" t="s">
        <v>95</v>
      </c>
    </row>
    <row r="64" spans="1:3">
      <c r="A64" t="s">
        <v>145</v>
      </c>
      <c r="B64" t="s">
        <v>87</v>
      </c>
      <c r="C64" t="s">
        <v>90</v>
      </c>
    </row>
    <row r="65" spans="1:3">
      <c r="A65" t="s">
        <v>146</v>
      </c>
      <c r="B65" t="s">
        <v>87</v>
      </c>
      <c r="C65" t="s">
        <v>90</v>
      </c>
    </row>
    <row r="66" spans="1:3">
      <c r="A66" t="s">
        <v>147</v>
      </c>
      <c r="B66" t="s">
        <v>87</v>
      </c>
      <c r="C66" t="s">
        <v>90</v>
      </c>
    </row>
    <row r="67" spans="1:3">
      <c r="A67" t="s">
        <v>148</v>
      </c>
      <c r="B67" t="s">
        <v>87</v>
      </c>
      <c r="C67" t="s">
        <v>90</v>
      </c>
    </row>
    <row r="68" spans="1:3">
      <c r="A68" t="s">
        <v>149</v>
      </c>
      <c r="B68" t="s">
        <v>87</v>
      </c>
      <c r="C68" t="s">
        <v>90</v>
      </c>
    </row>
    <row r="69" spans="1:3">
      <c r="A69" t="s">
        <v>150</v>
      </c>
      <c r="B69" t="s">
        <v>87</v>
      </c>
      <c r="C69" t="s">
        <v>90</v>
      </c>
    </row>
    <row r="70" spans="1:3">
      <c r="A70" t="s">
        <v>151</v>
      </c>
      <c r="B70" t="s">
        <v>87</v>
      </c>
      <c r="C70" t="s">
        <v>90</v>
      </c>
    </row>
    <row r="71" spans="1:3">
      <c r="A71" t="s">
        <v>126</v>
      </c>
      <c r="B71" t="s">
        <v>87</v>
      </c>
      <c r="C71" t="s">
        <v>127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VariantEditor</vt:lpstr>
      <vt:lpstr>CalAngle</vt:lpstr>
      <vt:lpstr>VeriAngle</vt:lpstr>
      <vt:lpstr>TeststandMainSequence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xsd</dc:creator>
  <cp:lastModifiedBy>xsd</cp:lastModifiedBy>
  <dcterms:created xsi:type="dcterms:W3CDTF">2025-07-08T04:18:00Z</dcterms:created>
  <dcterms:modified xsi:type="dcterms:W3CDTF">2025-12-31T08:24:08Z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934BC9346F97497AB69B326D13E34859_11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